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yko\Documents\Pulse\docs\"/>
    </mc:Choice>
  </mc:AlternateContent>
  <xr:revisionPtr revIDLastSave="0" documentId="13_ncr:1_{3862EE56-C45C-419D-B81A-08764BF8F563}" xr6:coauthVersionLast="47" xr6:coauthVersionMax="47" xr10:uidLastSave="{00000000-0000-0000-0000-000000000000}"/>
  <bookViews>
    <workbookView xWindow="-120" yWindow="-120" windowWidth="29040" windowHeight="15720" xr2:uid="{BCAA4DEF-BB83-4576-92F7-5DD5C28414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1" l="1"/>
  <c r="N3" i="1"/>
  <c r="P4" i="1"/>
  <c r="P5" i="1"/>
  <c r="P7" i="1"/>
  <c r="P8" i="1"/>
  <c r="P9" i="1"/>
  <c r="P10" i="1"/>
  <c r="P11" i="1"/>
  <c r="P12" i="1"/>
  <c r="N12" i="1" s="1"/>
  <c r="P13" i="1"/>
  <c r="N13" i="1" s="1"/>
  <c r="P14" i="1"/>
  <c r="N14" i="1" s="1"/>
  <c r="P3" i="1"/>
  <c r="N7" i="1"/>
  <c r="N8" i="1"/>
  <c r="N9" i="1"/>
  <c r="N10" i="1"/>
  <c r="N11" i="1"/>
  <c r="R14" i="1"/>
  <c r="R13" i="1"/>
  <c r="R12" i="1"/>
  <c r="R11" i="1"/>
  <c r="R10" i="1"/>
  <c r="R9" i="1"/>
  <c r="R8" i="1"/>
  <c r="R7" i="1"/>
  <c r="R6" i="1"/>
  <c r="N6" i="1" s="1"/>
  <c r="R5" i="1"/>
  <c r="R4" i="1"/>
  <c r="R3" i="1"/>
  <c r="H3" i="1"/>
  <c r="H6" i="1"/>
  <c r="H7" i="1"/>
  <c r="H8" i="1"/>
  <c r="H9" i="1"/>
  <c r="H10" i="1"/>
  <c r="H11" i="1"/>
  <c r="H12" i="1"/>
  <c r="H13" i="1"/>
  <c r="H14" i="1"/>
  <c r="L3" i="1"/>
  <c r="L4" i="1"/>
  <c r="H4" i="1" s="1"/>
  <c r="L5" i="1"/>
  <c r="H5" i="1" s="1"/>
  <c r="L6" i="1"/>
  <c r="L7" i="1"/>
  <c r="L8" i="1"/>
  <c r="L9" i="1"/>
  <c r="L10" i="1"/>
  <c r="L11" i="1"/>
  <c r="L12" i="1"/>
  <c r="L13" i="1"/>
  <c r="L14" i="1"/>
  <c r="E3" i="1"/>
  <c r="F3" i="1" s="1"/>
  <c r="E4" i="1"/>
  <c r="E5" i="1"/>
  <c r="E6" i="1"/>
  <c r="E7" i="1"/>
  <c r="E8" i="1"/>
  <c r="E9" i="1"/>
  <c r="E10" i="1"/>
  <c r="E11" i="1"/>
  <c r="E12" i="1"/>
  <c r="E13" i="1"/>
  <c r="E14" i="1"/>
  <c r="N5" i="1" l="1"/>
</calcChain>
</file>

<file path=xl/sharedStrings.xml><?xml version="1.0" encoding="utf-8"?>
<sst xmlns="http://schemas.openxmlformats.org/spreadsheetml/2006/main" count="17" uniqueCount="14">
  <si>
    <t>Circuito 1</t>
  </si>
  <si>
    <t>Circuito</t>
  </si>
  <si>
    <t>R</t>
  </si>
  <si>
    <t>L</t>
  </si>
  <si>
    <t>C</t>
  </si>
  <si>
    <t>ω</t>
  </si>
  <si>
    <t>λ</t>
  </si>
  <si>
    <t>Resistencia</t>
  </si>
  <si>
    <t>Resistividad</t>
  </si>
  <si>
    <t>Longitud</t>
  </si>
  <si>
    <t>Sección</t>
  </si>
  <si>
    <t>Diámetro</t>
  </si>
  <si>
    <t>Inductancia</t>
  </si>
  <si>
    <t>N_espiras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</si>
</sst>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5">
    <dxf>
      <numFmt numFmtId="164" formatCode="0.000E+00"/>
    </dxf>
    <dxf>
      <numFmt numFmtId="165" formatCode="0.000"/>
    </dxf>
    <dxf>
      <numFmt numFmtId="165" formatCode="0.000"/>
    </dxf>
    <dxf>
      <numFmt numFmtId="1" formatCode="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39CDE-20F0-40B2-AC7B-A41E4EDF0DE8}" name="Tabla1" displayName="Tabla1" ref="A2:F14" totalsRowShown="0">
  <autoFilter ref="A2:F14" xr:uid="{55539CDE-20F0-40B2-AC7B-A41E4EDF0DE8}"/>
  <tableColumns count="6">
    <tableColumn id="1" xr3:uid="{045BFD8E-604E-46DD-8D13-B37328043DA4}" name="Circuito"/>
    <tableColumn id="2" xr3:uid="{7A5624AA-7E4C-4786-A8BB-D1059071EDA1}" name="R" dataDxfId="14"/>
    <tableColumn id="3" xr3:uid="{5F98BC96-4412-4968-B798-14757CEF8868}" name="L" dataDxfId="13"/>
    <tableColumn id="4" xr3:uid="{C5A6626F-AA6D-4BAC-A373-06CA9695F5CF}" name="C" dataDxfId="12"/>
    <tableColumn id="5" xr3:uid="{1A30EF65-681B-4990-901B-1B0F7A8B49A8}" name="ω" dataDxfId="11">
      <calculatedColumnFormula>1/SQRT(Tabla1[[#This Row],[L]]*Tabla1[[#This Row],[C]])</calculatedColumnFormula>
    </tableColumn>
    <tableColumn id="6" xr3:uid="{BBF0CC99-9496-4830-8B2C-0C6542DC98FD}" name="λ" dataDxfId="1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EB781E-68EB-45F1-B222-08E005F0D820}" name="Tabla13" displayName="Tabla13" ref="H2:L14" totalsRowShown="0">
  <autoFilter ref="H2:L14" xr:uid="{8AEB781E-68EB-45F1-B222-08E005F0D820}"/>
  <tableColumns count="5">
    <tableColumn id="1" xr3:uid="{F3B46240-AF5B-41D2-B27C-8622621D815F}" name="Resistencia" dataDxfId="9">
      <calculatedColumnFormula>Tabla13[[#This Row],[Resistividad]]*Tabla13[[#This Row],[Longitud]]/Tabla13[[#This Row],[Sección]]</calculatedColumnFormula>
    </tableColumn>
    <tableColumn id="2" xr3:uid="{83A4E7E7-AC25-4179-99F1-004C04AEB13A}" name="Resistividad" dataDxfId="8"/>
    <tableColumn id="3" xr3:uid="{61EDB635-3343-40C2-8808-2E16BB1C16E7}" name="Longitud" dataDxfId="7"/>
    <tableColumn id="4" xr3:uid="{ADAB2C88-0B21-431C-A863-DED6E4FA8E55}" name="Diámetro" dataDxfId="6"/>
    <tableColumn id="7" xr3:uid="{82D15C90-7E0C-4147-B1EC-A59DE515FCA4}" name="Sección" dataDxfId="5">
      <calculatedColumnFormula>3.1415982*(Tabla13[[#This Row],[Diámetro]]/2)^2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E7FD7D-5F8C-4B59-91D6-8C5D38A65A67}" name="Tabla134" displayName="Tabla134" ref="N2:R14" totalsRowShown="0">
  <autoFilter ref="N2:R14" xr:uid="{F5E7FD7D-5F8C-4B59-91D6-8C5D38A65A67}"/>
  <tableColumns count="5">
    <tableColumn id="1" xr3:uid="{55F1A810-D8AE-4DAB-8155-7D4A650779DF}" name="Inductancia" dataDxfId="4">
      <calculatedColumnFormula>4*3.1415982*10^(-7)*Tabla134[[#This Row],[N_espiras]]^2*Tabla134[[#This Row],[Sección]]/Tabla134[[#This Row],[Longitud]]</calculatedColumnFormula>
    </tableColumn>
    <tableColumn id="2" xr3:uid="{6965D039-123D-43FB-B134-CCAEE6272244}" name="N_espiras" dataDxfId="3"/>
    <tableColumn id="3" xr3:uid="{1DD9DAC3-6295-4C9F-8E39-C55459E9E4BC}" name="Longitud" dataDxfId="2">
      <calculatedColumnFormula>Tabla134[[#This Row],[N_espiras]]*Tabla134[[#This Row],[Diámetro]]*3.1415982</calculatedColumnFormula>
    </tableColumn>
    <tableColumn id="4" xr3:uid="{1F7A0C04-F70A-467B-A1AE-42EF07CDF3B9}" name="Diámetro" dataDxfId="1"/>
    <tableColumn id="7" xr3:uid="{B66FE9B1-69A2-4A4A-BA80-C6BB42C33549}" name="Sección" dataDxfId="0">
      <calculatedColumnFormula>3.1415982*(Tabla134[[#This Row],[Diámetro]]/2)^2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E86B-81D0-4B01-BBB4-C58BBD90A6E2}">
  <dimension ref="A2:R14"/>
  <sheetViews>
    <sheetView tabSelected="1" topLeftCell="C1" workbookViewId="0">
      <selection activeCell="N22" sqref="N22"/>
    </sheetView>
  </sheetViews>
  <sheetFormatPr baseColWidth="10" defaultRowHeight="15" x14ac:dyDescent="0.25"/>
  <cols>
    <col min="1" max="5" width="12.140625" customWidth="1"/>
    <col min="8" max="8" width="13.85546875" bestFit="1" customWidth="1"/>
    <col min="9" max="9" width="14.42578125" bestFit="1" customWidth="1"/>
  </cols>
  <sheetData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11</v>
      </c>
      <c r="L2" t="s">
        <v>10</v>
      </c>
      <c r="N2" t="s">
        <v>12</v>
      </c>
      <c r="O2" t="s">
        <v>13</v>
      </c>
      <c r="P2" t="s">
        <v>9</v>
      </c>
      <c r="Q2" t="s">
        <v>11</v>
      </c>
      <c r="R2" t="s">
        <v>10</v>
      </c>
    </row>
    <row r="3" spans="1:18" x14ac:dyDescent="0.25">
      <c r="A3" t="s">
        <v>0</v>
      </c>
      <c r="B3" s="1"/>
      <c r="C3" s="1">
        <v>9.9999999999999995E-7</v>
      </c>
      <c r="D3" s="1">
        <v>4.6999999999999999E-6</v>
      </c>
      <c r="E3" s="1">
        <f>1/SQRT(Tabla1[[#This Row],[L]]*Tabla1[[#This Row],[C]])</f>
        <v>461265.60401444254</v>
      </c>
      <c r="F3" s="1">
        <f>300000000/Tabla1[[#This Row],[ω]]</f>
        <v>650.38450166036398</v>
      </c>
      <c r="H3" s="1">
        <f>Tabla13[[#This Row],[Resistividad]]*Tabla13[[#This Row],[Longitud]]/Tabla13[[#This Row],[Sección]]</f>
        <v>2.1263062857624507E-4</v>
      </c>
      <c r="I3" s="1">
        <v>1.6700000000000001E-8</v>
      </c>
      <c r="J3" s="1">
        <v>1</v>
      </c>
      <c r="K3" s="1">
        <v>0.01</v>
      </c>
      <c r="L3" s="1">
        <f>3.1415982*(Tabla13[[#This Row],[Diámetro]]/2)^2</f>
        <v>7.8539954999999994E-5</v>
      </c>
      <c r="N3" s="1">
        <f>4*3.1415982*10^(-7)*Tabla134[[#This Row],[N_espiras]]^2*Tabla134[[#This Row],[Sección]]/Tabla134[[#This Row],[Longitud]]</f>
        <v>3.1415982000000004E-7</v>
      </c>
      <c r="O3" s="2">
        <v>5</v>
      </c>
      <c r="P3" s="3">
        <f>Tabla134[[#This Row],[N_espiras]]*Tabla134[[#This Row],[Diámetro]]*3.1415982</f>
        <v>3.1415981999999998</v>
      </c>
      <c r="Q3" s="3">
        <v>0.2</v>
      </c>
      <c r="R3" s="1">
        <f>3.1415982*(Tabla134[[#This Row],[Diámetro]]/2)^2</f>
        <v>3.1415982000000002E-2</v>
      </c>
    </row>
    <row r="4" spans="1:18" x14ac:dyDescent="0.25">
      <c r="B4" s="1"/>
      <c r="C4" s="1"/>
      <c r="D4" s="1"/>
      <c r="E4" s="1" t="e">
        <f>1/SQRT(Tabla1[[#This Row],[L]]*Tabla1[[#This Row],[C]])</f>
        <v>#DIV/0!</v>
      </c>
      <c r="F4" s="1"/>
      <c r="H4" s="1">
        <f>Tabla13[[#This Row],[Resistividad]]*Tabla13[[#This Row],[Longitud]]/Tabla13[[#This Row],[Sección]]</f>
        <v>8.5052251430498026E-4</v>
      </c>
      <c r="I4" s="1">
        <v>1.6700000000000001E-8</v>
      </c>
      <c r="J4" s="1">
        <v>1</v>
      </c>
      <c r="K4" s="1">
        <v>5.0000000000000001E-3</v>
      </c>
      <c r="L4" s="1">
        <f>3.1415982*(Tabla13[[#This Row],[Diámetro]]/2)^2</f>
        <v>1.9634988749999998E-5</v>
      </c>
      <c r="N4" s="1">
        <f>4*3.1415982*10^(-7)*Tabla134[[#This Row],[N_espiras]]^2*Tabla134[[#This Row],[Sección]]/Tabla134[[#This Row],[Longitud]]</f>
        <v>6.2831964000000005E-8</v>
      </c>
      <c r="O4" s="2">
        <v>2</v>
      </c>
      <c r="P4" s="3">
        <f>Tabla134[[#This Row],[N_espiras]]*Tabla134[[#This Row],[Diámetro]]*3.1415982</f>
        <v>0.62831963999999996</v>
      </c>
      <c r="Q4" s="3">
        <v>0.1</v>
      </c>
      <c r="R4" s="1">
        <f>3.1415982*(Tabla134[[#This Row],[Diámetro]]/2)^2</f>
        <v>7.8539955000000005E-3</v>
      </c>
    </row>
    <row r="5" spans="1:18" x14ac:dyDescent="0.25">
      <c r="B5" s="1"/>
      <c r="C5" s="1"/>
      <c r="D5" s="1"/>
      <c r="E5" s="1" t="e">
        <f>1/SQRT(Tabla1[[#This Row],[L]]*Tabla1[[#This Row],[C]])</f>
        <v>#DIV/0!</v>
      </c>
      <c r="F5" s="1"/>
      <c r="H5" s="1">
        <f>Tabla13[[#This Row],[Resistividad]]*Tabla13[[#This Row],[Longitud]]/Tabla13[[#This Row],[Sección]]</f>
        <v>6.6809177170339832E-3</v>
      </c>
      <c r="I5" s="1">
        <v>1.6700000000000001E-8</v>
      </c>
      <c r="J5" s="1">
        <v>1</v>
      </c>
      <c r="K5" s="1">
        <v>1.784E-3</v>
      </c>
      <c r="L5" s="1">
        <f>3.1415982*(Tabla13[[#This Row],[Diámetro]]/2)^2</f>
        <v>2.4996565902047997E-6</v>
      </c>
      <c r="N5" s="1">
        <f>4*3.1415982*10^(-7)*Tabla134[[#This Row],[N_espiras]]^2*Tabla134[[#This Row],[Sección]]/Tabla134[[#This Row],[Longitud]]</f>
        <v>3.1415981999999991E-6</v>
      </c>
      <c r="O5" s="2">
        <v>10</v>
      </c>
      <c r="P5" s="3">
        <f>Tabla134[[#This Row],[N_espiras]]*Tabla134[[#This Row],[Diámetro]]*3.1415982</f>
        <v>31.415982</v>
      </c>
      <c r="Q5" s="3">
        <v>1</v>
      </c>
      <c r="R5" s="1">
        <f>3.1415982*(Tabla134[[#This Row],[Diámetro]]/2)^2</f>
        <v>0.78539954999999995</v>
      </c>
    </row>
    <row r="6" spans="1:18" x14ac:dyDescent="0.25">
      <c r="B6" s="1"/>
      <c r="C6" s="1"/>
      <c r="D6" s="1"/>
      <c r="E6" s="1" t="e">
        <f>1/SQRT(Tabla1[[#This Row],[L]]*Tabla1[[#This Row],[C]])</f>
        <v>#DIV/0!</v>
      </c>
      <c r="F6" s="1"/>
      <c r="H6" s="1" t="e">
        <f>Tabla13[[#This Row],[Resistividad]]*Tabla13[[#This Row],[Longitud]]/Tabla13[[#This Row],[Sección]]</f>
        <v>#DIV/0!</v>
      </c>
      <c r="I6" s="1">
        <v>1.6700000000000001E-8</v>
      </c>
      <c r="J6" s="1"/>
      <c r="K6" s="1"/>
      <c r="L6" s="1">
        <f>3.1415982*(Tabla13[[#This Row],[Diámetro]]/2)^2</f>
        <v>0</v>
      </c>
      <c r="N6" s="1">
        <f>4*3.1415982*10^(-7)*Tabla134[[#This Row],[N_espiras]]^2*Tabla134[[#This Row],[Sección]]/Tabla134[[#This Row],[Longitud]]</f>
        <v>1.2090308081547971E-7</v>
      </c>
      <c r="O6" s="2">
        <v>7</v>
      </c>
      <c r="P6" s="3">
        <v>1</v>
      </c>
      <c r="Q6" s="3">
        <v>0.05</v>
      </c>
      <c r="R6" s="1">
        <f>3.1415982*(Tabla134[[#This Row],[Diámetro]]/2)^2</f>
        <v>1.9634988750000001E-3</v>
      </c>
    </row>
    <row r="7" spans="1:18" x14ac:dyDescent="0.25">
      <c r="B7" s="1"/>
      <c r="C7" s="1"/>
      <c r="D7" s="1"/>
      <c r="E7" s="1" t="e">
        <f>1/SQRT(Tabla1[[#This Row],[L]]*Tabla1[[#This Row],[C]])</f>
        <v>#DIV/0!</v>
      </c>
      <c r="F7" s="1"/>
      <c r="H7" s="1" t="e">
        <f>Tabla13[[#This Row],[Resistividad]]*Tabla13[[#This Row],[Longitud]]/Tabla13[[#This Row],[Sección]]</f>
        <v>#DIV/0!</v>
      </c>
      <c r="I7" s="1">
        <v>1.6700000000000001E-8</v>
      </c>
      <c r="J7" s="1"/>
      <c r="K7" s="1"/>
      <c r="L7" s="1">
        <f>3.1415982*(Tabla13[[#This Row],[Diámetro]]/2)^2</f>
        <v>0</v>
      </c>
      <c r="N7" s="1" t="e">
        <f>4*3.1415982*10^(-7)*Tabla134[[#This Row],[N_espiras]]^2*Tabla134[[#This Row],[Sección]]/Tabla134[[#This Row],[Longitud]]</f>
        <v>#DIV/0!</v>
      </c>
      <c r="O7" s="2">
        <v>1.6700000000000001E-8</v>
      </c>
      <c r="P7" s="3">
        <f>Tabla134[[#This Row],[N_espiras]]*Tabla134[[#This Row],[Diámetro]]*3.1415982</f>
        <v>0</v>
      </c>
      <c r="Q7" s="3"/>
      <c r="R7" s="1">
        <f>3.1415982*(Tabla134[[#This Row],[Diámetro]]/2)^2</f>
        <v>0</v>
      </c>
    </row>
    <row r="8" spans="1:18" x14ac:dyDescent="0.25">
      <c r="B8" s="1"/>
      <c r="C8" s="1"/>
      <c r="D8" s="1"/>
      <c r="E8" s="1" t="e">
        <f>1/SQRT(Tabla1[[#This Row],[L]]*Tabla1[[#This Row],[C]])</f>
        <v>#DIV/0!</v>
      </c>
      <c r="F8" s="1"/>
      <c r="H8" s="1" t="e">
        <f>Tabla13[[#This Row],[Resistividad]]*Tabla13[[#This Row],[Longitud]]/Tabla13[[#This Row],[Sección]]</f>
        <v>#DIV/0!</v>
      </c>
      <c r="I8" s="1">
        <v>1.6700000000000001E-8</v>
      </c>
      <c r="J8" s="1"/>
      <c r="K8" s="1"/>
      <c r="L8" s="1">
        <f>3.1415982*(Tabla13[[#This Row],[Diámetro]]/2)^2</f>
        <v>0</v>
      </c>
      <c r="N8" s="1" t="e">
        <f>4*3.1415982*10^(-7)*Tabla134[[#This Row],[N_espiras]]^2*Tabla134[[#This Row],[Sección]]/Tabla134[[#This Row],[Longitud]]</f>
        <v>#DIV/0!</v>
      </c>
      <c r="O8" s="2">
        <v>1.6700000000000001E-8</v>
      </c>
      <c r="P8" s="3">
        <f>Tabla134[[#This Row],[N_espiras]]*Tabla134[[#This Row],[Diámetro]]*3.1415982</f>
        <v>0</v>
      </c>
      <c r="Q8" s="3"/>
      <c r="R8" s="1">
        <f>3.1415982*(Tabla134[[#This Row],[Diámetro]]/2)^2</f>
        <v>0</v>
      </c>
    </row>
    <row r="9" spans="1:18" x14ac:dyDescent="0.25">
      <c r="B9" s="1"/>
      <c r="C9" s="1"/>
      <c r="D9" s="1"/>
      <c r="E9" s="1" t="e">
        <f>1/SQRT(Tabla1[[#This Row],[L]]*Tabla1[[#This Row],[C]])</f>
        <v>#DIV/0!</v>
      </c>
      <c r="F9" s="1"/>
      <c r="H9" s="1" t="e">
        <f>Tabla13[[#This Row],[Resistividad]]*Tabla13[[#This Row],[Longitud]]/Tabla13[[#This Row],[Sección]]</f>
        <v>#DIV/0!</v>
      </c>
      <c r="I9" s="1">
        <v>1.6700000000000001E-8</v>
      </c>
      <c r="J9" s="1"/>
      <c r="K9" s="1"/>
      <c r="L9" s="1">
        <f>3.1415982*(Tabla13[[#This Row],[Diámetro]]/2)^2</f>
        <v>0</v>
      </c>
      <c r="N9" s="1" t="e">
        <f>4*3.1415982*10^(-7)*Tabla134[[#This Row],[N_espiras]]^2*Tabla134[[#This Row],[Sección]]/Tabla134[[#This Row],[Longitud]]</f>
        <v>#DIV/0!</v>
      </c>
      <c r="O9" s="2">
        <v>1.6700000000000001E-8</v>
      </c>
      <c r="P9" s="3">
        <f>Tabla134[[#This Row],[N_espiras]]*Tabla134[[#This Row],[Diámetro]]*3.1415982</f>
        <v>0</v>
      </c>
      <c r="Q9" s="3"/>
      <c r="R9" s="1">
        <f>3.1415982*(Tabla134[[#This Row],[Diámetro]]/2)^2</f>
        <v>0</v>
      </c>
    </row>
    <row r="10" spans="1:18" x14ac:dyDescent="0.25">
      <c r="B10" s="1"/>
      <c r="C10" s="1"/>
      <c r="D10" s="1"/>
      <c r="E10" s="1" t="e">
        <f>1/SQRT(Tabla1[[#This Row],[L]]*Tabla1[[#This Row],[C]])</f>
        <v>#DIV/0!</v>
      </c>
      <c r="F10" s="1"/>
      <c r="H10" s="1" t="e">
        <f>Tabla13[[#This Row],[Resistividad]]*Tabla13[[#This Row],[Longitud]]/Tabla13[[#This Row],[Sección]]</f>
        <v>#DIV/0!</v>
      </c>
      <c r="I10" s="1">
        <v>1.6700000000000001E-8</v>
      </c>
      <c r="J10" s="1"/>
      <c r="K10" s="1"/>
      <c r="L10" s="1">
        <f>3.1415982*(Tabla13[[#This Row],[Diámetro]]/2)^2</f>
        <v>0</v>
      </c>
      <c r="N10" s="1" t="e">
        <f>4*3.1415982*10^(-7)*Tabla134[[#This Row],[N_espiras]]^2*Tabla134[[#This Row],[Sección]]/Tabla134[[#This Row],[Longitud]]</f>
        <v>#DIV/0!</v>
      </c>
      <c r="O10" s="2">
        <v>1.6700000000000001E-8</v>
      </c>
      <c r="P10" s="3">
        <f>Tabla134[[#This Row],[N_espiras]]*Tabla134[[#This Row],[Diámetro]]*3.1415982</f>
        <v>0</v>
      </c>
      <c r="Q10" s="3"/>
      <c r="R10" s="1">
        <f>3.1415982*(Tabla134[[#This Row],[Diámetro]]/2)^2</f>
        <v>0</v>
      </c>
    </row>
    <row r="11" spans="1:18" x14ac:dyDescent="0.25">
      <c r="B11" s="1"/>
      <c r="C11" s="1"/>
      <c r="D11" s="1"/>
      <c r="E11" s="1" t="e">
        <f>1/SQRT(Tabla1[[#This Row],[L]]*Tabla1[[#This Row],[C]])</f>
        <v>#DIV/0!</v>
      </c>
      <c r="F11" s="1"/>
      <c r="H11" s="1" t="e">
        <f>Tabla13[[#This Row],[Resistividad]]*Tabla13[[#This Row],[Longitud]]/Tabla13[[#This Row],[Sección]]</f>
        <v>#DIV/0!</v>
      </c>
      <c r="I11" s="1">
        <v>1.6700000000000001E-8</v>
      </c>
      <c r="J11" s="1"/>
      <c r="K11" s="1"/>
      <c r="L11" s="1">
        <f>3.1415982*(Tabla13[[#This Row],[Diámetro]]/2)^2</f>
        <v>0</v>
      </c>
      <c r="N11" s="1" t="e">
        <f>4*3.1415982*10^(-7)*Tabla134[[#This Row],[N_espiras]]^2*Tabla134[[#This Row],[Sección]]/Tabla134[[#This Row],[Longitud]]</f>
        <v>#DIV/0!</v>
      </c>
      <c r="O11" s="2">
        <v>1.6700000000000001E-8</v>
      </c>
      <c r="P11" s="3">
        <f>Tabla134[[#This Row],[N_espiras]]*Tabla134[[#This Row],[Diámetro]]*3.1415982</f>
        <v>0</v>
      </c>
      <c r="Q11" s="3"/>
      <c r="R11" s="1">
        <f>3.1415982*(Tabla134[[#This Row],[Diámetro]]/2)^2</f>
        <v>0</v>
      </c>
    </row>
    <row r="12" spans="1:18" x14ac:dyDescent="0.25">
      <c r="B12" s="1"/>
      <c r="C12" s="1"/>
      <c r="D12" s="1"/>
      <c r="E12" s="1" t="e">
        <f>1/SQRT(Tabla1[[#This Row],[L]]*Tabla1[[#This Row],[C]])</f>
        <v>#DIV/0!</v>
      </c>
      <c r="F12" s="1"/>
      <c r="H12" s="1" t="e">
        <f>Tabla13[[#This Row],[Resistividad]]*Tabla13[[#This Row],[Longitud]]/Tabla13[[#This Row],[Sección]]</f>
        <v>#DIV/0!</v>
      </c>
      <c r="I12" s="1">
        <v>1.6700000000000001E-8</v>
      </c>
      <c r="J12" s="1"/>
      <c r="K12" s="1"/>
      <c r="L12" s="1">
        <f>3.1415982*(Tabla13[[#This Row],[Diámetro]]/2)^2</f>
        <v>0</v>
      </c>
      <c r="N12" s="1" t="e">
        <f>4*3.1415982*10^(-7)*Tabla134[[#This Row],[N_espiras]]^2*Tabla134[[#This Row],[Sección]]/Tabla134[[#This Row],[Longitud]]</f>
        <v>#DIV/0!</v>
      </c>
      <c r="O12" s="2">
        <v>1.6700000000000001E-8</v>
      </c>
      <c r="P12" s="3">
        <f>Tabla134[[#This Row],[N_espiras]]*Tabla134[[#This Row],[Diámetro]]*3.1415982</f>
        <v>0</v>
      </c>
      <c r="Q12" s="3"/>
      <c r="R12" s="1">
        <f>3.1415982*(Tabla134[[#This Row],[Diámetro]]/2)^2</f>
        <v>0</v>
      </c>
    </row>
    <row r="13" spans="1:18" x14ac:dyDescent="0.25">
      <c r="B13" s="1"/>
      <c r="C13" s="1"/>
      <c r="D13" s="1"/>
      <c r="E13" s="1" t="e">
        <f>1/SQRT(Tabla1[[#This Row],[L]]*Tabla1[[#This Row],[C]])</f>
        <v>#DIV/0!</v>
      </c>
      <c r="F13" s="1"/>
      <c r="H13" s="1" t="e">
        <f>Tabla13[[#This Row],[Resistividad]]*Tabla13[[#This Row],[Longitud]]/Tabla13[[#This Row],[Sección]]</f>
        <v>#DIV/0!</v>
      </c>
      <c r="I13" s="1">
        <v>1.6700000000000001E-8</v>
      </c>
      <c r="J13" s="1"/>
      <c r="K13" s="1"/>
      <c r="L13" s="1">
        <f>3.1415982*(Tabla13[[#This Row],[Diámetro]]/2)^2</f>
        <v>0</v>
      </c>
      <c r="N13" s="1" t="e">
        <f>4*3.1415982*10^(-7)*Tabla134[[#This Row],[N_espiras]]^2*Tabla134[[#This Row],[Sección]]/Tabla134[[#This Row],[Longitud]]</f>
        <v>#DIV/0!</v>
      </c>
      <c r="O13" s="2">
        <v>1.6700000000000001E-8</v>
      </c>
      <c r="P13" s="3">
        <f>Tabla134[[#This Row],[N_espiras]]*Tabla134[[#This Row],[Diámetro]]*3.1415982</f>
        <v>0</v>
      </c>
      <c r="Q13" s="3"/>
      <c r="R13" s="1">
        <f>3.1415982*(Tabla134[[#This Row],[Diámetro]]/2)^2</f>
        <v>0</v>
      </c>
    </row>
    <row r="14" spans="1:18" x14ac:dyDescent="0.25">
      <c r="B14" s="1"/>
      <c r="C14" s="1"/>
      <c r="D14" s="1"/>
      <c r="E14" s="1" t="e">
        <f>1/SQRT(Tabla1[[#This Row],[L]]*Tabla1[[#This Row],[C]])</f>
        <v>#DIV/0!</v>
      </c>
      <c r="F14" s="1"/>
      <c r="H14" s="1" t="e">
        <f>Tabla13[[#This Row],[Resistividad]]*Tabla13[[#This Row],[Longitud]]/Tabla13[[#This Row],[Sección]]</f>
        <v>#DIV/0!</v>
      </c>
      <c r="I14" s="1">
        <v>1.6700000000000001E-8</v>
      </c>
      <c r="J14" s="1"/>
      <c r="K14" s="1"/>
      <c r="L14" s="1">
        <f>3.1415982*(Tabla13[[#This Row],[Diámetro]]/2)^2</f>
        <v>0</v>
      </c>
      <c r="N14" s="1" t="e">
        <f>4*3.1415982*10^(-7)*Tabla134[[#This Row],[N_espiras]]^2*Tabla134[[#This Row],[Sección]]/Tabla134[[#This Row],[Longitud]]</f>
        <v>#DIV/0!</v>
      </c>
      <c r="O14" s="2">
        <v>1.6700000000000001E-8</v>
      </c>
      <c r="P14" s="3">
        <f>Tabla134[[#This Row],[N_espiras]]*Tabla134[[#This Row],[Diámetro]]*3.1415982</f>
        <v>0</v>
      </c>
      <c r="Q14" s="3"/>
      <c r="R14" s="1">
        <f>3.1415982*(Tabla134[[#This Row],[Diámetro]]/2)^2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JAVIER ESPINO HEREDERO</dc:creator>
  <cp:lastModifiedBy>SANTIAGO JAVIER ESPINO HEREDERO</cp:lastModifiedBy>
  <dcterms:created xsi:type="dcterms:W3CDTF">2026-04-29T15:45:09Z</dcterms:created>
  <dcterms:modified xsi:type="dcterms:W3CDTF">2026-05-01T02:41:42Z</dcterms:modified>
</cp:coreProperties>
</file>